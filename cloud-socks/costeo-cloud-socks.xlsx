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Costeo por pack" sheetId="2" state="visible" r:id="rId2"/>
    <sheet name="Mix de 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0.00x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666666"/>
      <sz val="9"/>
    </font>
    <font>
      <name val="Arial"/>
      <b val="1"/>
    </font>
    <font>
      <name val="Arial"/>
      <i val="1"/>
      <color rgb="00666666"/>
      <sz val="9"/>
    </font>
    <font>
      <name val="Arial"/>
      <color rgb="00008000"/>
    </font>
    <font>
      <name val="Arial"/>
      <b val="1"/>
      <sz val="12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F0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164" fontId="5" fillId="3" borderId="1" pivotButton="0" quotePrefix="0" xfId="0"/>
    <xf numFmtId="0" fontId="6" fillId="0" borderId="1" pivotButton="0" quotePrefix="0" xfId="0"/>
    <xf numFmtId="165" fontId="5" fillId="3" borderId="1" pivotButton="0" quotePrefix="0" xfId="0"/>
    <xf numFmtId="3" fontId="5" fillId="3" borderId="1" pivotButton="0" quotePrefix="0" xfId="0"/>
    <xf numFmtId="166" fontId="5" fillId="3" borderId="1" pivotButton="0" quotePrefix="0" xfId="0"/>
    <xf numFmtId="0" fontId="7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0" borderId="1" pivotButton="0" quotePrefix="0" xfId="0"/>
    <xf numFmtId="49" fontId="5" fillId="3" borderId="1" pivotButton="0" quotePrefix="0" xfId="0"/>
    <xf numFmtId="164" fontId="11" fillId="0" borderId="1" pivotButton="0" quotePrefix="0" xfId="0"/>
    <xf numFmtId="164" fontId="7" fillId="4" borderId="1" pivotButton="0" quotePrefix="0" xfId="0"/>
    <xf numFmtId="165" fontId="11" fillId="4" borderId="1" pivotButton="0" quotePrefix="0" xfId="0"/>
    <xf numFmtId="164" fontId="7" fillId="0" borderId="1" pivotButton="0" quotePrefix="0" xfId="0"/>
    <xf numFmtId="166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165" fontId="5" fillId="3" borderId="0" pivotButton="0" quotePrefix="0" xfId="0"/>
    <xf numFmtId="164" fontId="9" fillId="0" borderId="0" pivotButton="0" quotePrefix="0" xfId="0"/>
    <xf numFmtId="0" fontId="10" fillId="0" borderId="0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Costeo</author>
  </authors>
  <commentList>
    <comment ref="F4" authorId="0" shapeId="0">
      <text>
        <t>CM1 = Precio − costo del producto.</t>
      </text>
    </comment>
    <comment ref="M4" authorId="0" shapeId="0">
      <text>
        <t>CM2 = CM1 − costos variables de venta (envío, packaging + tarjeta, Mercado Pago, Shopify, cuotas sin interés). Es lo que queda para pagar publicidad.</t>
      </text>
    </comment>
    <comment ref="P4" authorId="0" shapeId="0">
      <text>
        <t>CPA break-even = CM2 − monotributo por pedido. Lo máximo que podés pagar en publicidad por compra sin perder plata.</t>
      </text>
    </comment>
    <comment ref="Q4" authorId="0" shapeId="0">
      <text>
        <t>ROAS break-even = precio / CPA break-even. Por debajo de este ROAS perdés plata.</t>
      </text>
    </comment>
    <comment ref="R4" authorId="0" shapeId="0">
      <text>
        <t>Costo de publicidad por compra si lográs el ROAS objetivo (hoja Supuestos).</t>
      </text>
    </comment>
    <comment ref="S4" authorId="0" shapeId="0">
      <text>
        <t>CM3 = CM2 − publicidad (CPA a ROAS objetivo).</t>
      </text>
    </comment>
    <comment ref="U4" authorId="0" shapeId="0">
      <text>
        <t>Resultado neto = CM3 − monotributo por pedido. No incluye retenciones de IIBB ni IVA/Ganancias si pasás a Responsable Inscripto.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70" customWidth="1" min="3" max="3"/>
  </cols>
  <sheetData>
    <row r="1">
      <c r="A1" s="1" t="inlineStr">
        <is>
          <t>Cloud Socks · Supuestos</t>
        </is>
      </c>
      <c r="B1" s="2" t="n"/>
      <c r="C1" s="2" t="n"/>
    </row>
    <row r="2">
      <c r="A2" s="3" t="inlineStr">
        <is>
          <t>Editá solo las celdas amarillas con texto azul. Todo lo demás se recalcula solo.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Concepto</t>
        </is>
      </c>
      <c r="B4" s="4" t="inlineStr">
        <is>
          <t>Valor</t>
        </is>
      </c>
      <c r="C4" s="4" t="inlineStr">
        <is>
          <t>Nota</t>
        </is>
      </c>
    </row>
    <row r="5">
      <c r="A5" s="5" t="inlineStr">
        <is>
          <t>Costo por par (ARS)</t>
        </is>
      </c>
      <c r="B5" s="6" t="n">
        <v>2300</v>
      </c>
      <c r="C5" s="7" t="inlineStr">
        <is>
          <t>Dato del usuario.</t>
        </is>
      </c>
    </row>
    <row r="6">
      <c r="A6" s="5" t="inlineStr">
        <is>
          <t>Envío por pedido (ARS)</t>
        </is>
      </c>
      <c r="B6" s="6" t="n">
        <v>10500</v>
      </c>
      <c r="C6" s="7" t="inlineStr">
        <is>
          <t>Dato del usuario. Supuesto: lo paga la marca, 1 envío por pedido.</t>
        </is>
      </c>
    </row>
    <row r="7">
      <c r="A7" s="5" t="inlineStr">
        <is>
          <t>Packaging por pedido (ARS)</t>
        </is>
      </c>
      <c r="B7" s="6" t="n">
        <v>500</v>
      </c>
      <c r="C7" s="7" t="inlineStr">
        <is>
          <t>Dato del usuario.</t>
        </is>
      </c>
    </row>
    <row r="8">
      <c r="A8" s="5" t="inlineStr">
        <is>
          <t>Tarjeta por pedido (ARS)</t>
        </is>
      </c>
      <c r="B8" s="6" t="n">
        <v>200</v>
      </c>
      <c r="C8" s="7" t="inlineStr">
        <is>
          <t>Estimado. Reemplazar por el costo real.</t>
        </is>
      </c>
    </row>
    <row r="9">
      <c r="A9" s="5" t="inlineStr">
        <is>
          <t>Comisión Mercado Pago (sin IVA)</t>
        </is>
      </c>
      <c r="B9" s="8" t="n">
        <v>0.0629</v>
      </c>
      <c r="C9" s="7" t="inlineStr">
        <is>
          <t>Acreditación inmediata. Verificar en el panel de MP, cambia seguido.</t>
        </is>
      </c>
    </row>
    <row r="10">
      <c r="A10" s="5" t="inlineStr">
        <is>
          <t>IVA sobre comisión MP</t>
        </is>
      </c>
      <c r="B10" s="8" t="n">
        <v>0.21</v>
      </c>
      <c r="C10" s="7" t="inlineStr">
        <is>
          <t>IVA 21% sobre la comisión.</t>
        </is>
      </c>
    </row>
    <row r="11">
      <c r="A11" s="5" t="inlineStr">
        <is>
          <t>Comisión Shopify por venta</t>
        </is>
      </c>
      <c r="B11" s="8" t="n">
        <v>0.02</v>
      </c>
      <c r="C11" s="7" t="inlineStr">
        <is>
          <t>Plan Basic sin Shopify Payments (no disponible en Argentina).</t>
        </is>
      </c>
    </row>
    <row r="12">
      <c r="A12" s="5" t="inlineStr">
        <is>
          <t>Costo extra 3 cuotas sin interés</t>
        </is>
      </c>
      <c r="B12" s="8" t="n">
        <v>0.1</v>
      </c>
      <c r="C12" s="7" t="inlineStr">
        <is>
          <t>Aproximado. Verificar la tasa exacta en el panel de MP.</t>
        </is>
      </c>
    </row>
    <row r="13">
      <c r="A13" s="5" t="inlineStr">
        <is>
          <t>Cuota mensual monotributo (ARS)</t>
        </is>
      </c>
      <c r="B13" s="6" t="n">
        <v>60000</v>
      </c>
      <c r="C13" s="7" t="inlineStr">
        <is>
          <t>Ejemplo. Reemplazar por la cuota real de tu categoría (ARCA).</t>
        </is>
      </c>
    </row>
    <row r="14">
      <c r="A14" s="5" t="inlineStr">
        <is>
          <t>Pedidos estimados por mes</t>
        </is>
      </c>
      <c r="B14" s="9" t="n">
        <v>100</v>
      </c>
      <c r="C14" s="7" t="inlineStr">
        <is>
          <t>Para repartir el monotributo por pedido.</t>
        </is>
      </c>
    </row>
    <row r="15">
      <c r="A15" s="5" t="inlineStr">
        <is>
          <t>ROAS objetivo</t>
        </is>
      </c>
      <c r="B15" s="10" t="n">
        <v>2.5</v>
      </c>
      <c r="C15" s="7" t="inlineStr">
        <is>
          <t>Retorno de publicidad que querés lograr.</t>
        </is>
      </c>
    </row>
    <row r="16">
      <c r="A16" s="11" t="inlineStr">
        <is>
          <t>Comisión MP total (con IVA)</t>
        </is>
      </c>
      <c r="B16" s="12">
        <f>B9*(1+B10)</f>
        <v/>
      </c>
      <c r="C16" s="2" t="n"/>
    </row>
    <row r="17">
      <c r="A17" s="11" t="inlineStr">
        <is>
          <t>Monotributo por pedido (ARS)</t>
        </is>
      </c>
      <c r="B17" s="13">
        <f>IFERROR(B13/B14,0)</f>
        <v/>
      </c>
      <c r="C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11" customWidth="1" min="4" max="4"/>
    <col width="11" customWidth="1" min="5" max="5"/>
    <col width="12" customWidth="1" min="6" max="6"/>
    <col width="8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8" customWidth="1" min="14" max="14"/>
    <col width="12" customWidth="1" min="15" max="15"/>
    <col width="13" customWidth="1" min="16" max="16"/>
    <col width="11" customWidth="1" min="17" max="17"/>
    <col width="13" customWidth="1" min="18" max="18"/>
    <col width="12" customWidth="1" min="19" max="19"/>
    <col width="8" customWidth="1" min="20" max="20"/>
    <col width="13" customWidth="1" min="21" max="21"/>
    <col width="11" customWidth="1" min="22" max="22"/>
  </cols>
  <sheetData>
    <row r="1">
      <c r="A1" s="1" t="inlineStr">
        <is>
          <t>Cloud Socks · Costeo por pack: CM1, CM2, CM3, CPA y ROAS de break-even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CM1 = precio − producto · CM2 = CM1 − costos variables de venta · CM3 = CM2 − publicidad (CPA a ROAS objetivo). Editá solo lo amarillo.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44" customHeight="1">
      <c r="A4" s="14" t="inlineStr">
        <is>
          <t>Pack</t>
        </is>
      </c>
      <c r="B4" s="14" t="inlineStr">
        <is>
          <t>Pares</t>
        </is>
      </c>
      <c r="C4" s="14" t="inlineStr">
        <is>
          <t>Precio venta</t>
        </is>
      </c>
      <c r="D4" s="14" t="inlineStr">
        <is>
          <t>3 cuotas s/int. (Sí/No)</t>
        </is>
      </c>
      <c r="E4" s="14" t="inlineStr">
        <is>
          <t>Producto</t>
        </is>
      </c>
      <c r="F4" s="14" t="inlineStr">
        <is>
          <t>CM1</t>
        </is>
      </c>
      <c r="G4" s="14" t="inlineStr">
        <is>
          <t>CM1 %</t>
        </is>
      </c>
      <c r="H4" s="14" t="inlineStr">
        <is>
          <t>Envío</t>
        </is>
      </c>
      <c r="I4" s="14" t="inlineStr">
        <is>
          <t>Packaging + tarjeta</t>
        </is>
      </c>
      <c r="J4" s="14" t="inlineStr">
        <is>
          <t>Mercado Pago</t>
        </is>
      </c>
      <c r="K4" s="14" t="inlineStr">
        <is>
          <t>Shopify</t>
        </is>
      </c>
      <c r="L4" s="14" t="inlineStr">
        <is>
          <t>Cuotas s/int.</t>
        </is>
      </c>
      <c r="M4" s="14" t="inlineStr">
        <is>
          <t>CM2</t>
        </is>
      </c>
      <c r="N4" s="14" t="inlineStr">
        <is>
          <t>CM2 %</t>
        </is>
      </c>
      <c r="O4" s="14" t="inlineStr">
        <is>
          <t>Monotributo x pedido</t>
        </is>
      </c>
      <c r="P4" s="14" t="inlineStr">
        <is>
          <t>CPA break-even</t>
        </is>
      </c>
      <c r="Q4" s="14" t="inlineStr">
        <is>
          <t>ROAS break-even</t>
        </is>
      </c>
      <c r="R4" s="14" t="inlineStr">
        <is>
          <t>CPA a ROAS objetivo</t>
        </is>
      </c>
      <c r="S4" s="14" t="inlineStr">
        <is>
          <t>CM3</t>
        </is>
      </c>
      <c r="T4" s="14" t="inlineStr">
        <is>
          <t>CM3 %</t>
        </is>
      </c>
      <c r="U4" s="14" t="inlineStr">
        <is>
          <t>Resultado neto x pedido</t>
        </is>
      </c>
      <c r="V4" s="14" t="inlineStr">
        <is>
          <t>Precio por par</t>
        </is>
      </c>
    </row>
    <row r="5">
      <c r="A5" s="15" t="inlineStr">
        <is>
          <t>1 par</t>
        </is>
      </c>
      <c r="B5" s="9" t="n">
        <v>1</v>
      </c>
      <c r="C5" s="6" t="n">
        <v>33900</v>
      </c>
      <c r="D5" s="16" t="inlineStr">
        <is>
          <t>No</t>
        </is>
      </c>
      <c r="E5" s="17">
        <f>B5*Supuestos!$B$5</f>
        <v/>
      </c>
      <c r="F5" s="18">
        <f>C5-E5</f>
        <v/>
      </c>
      <c r="G5" s="19">
        <f>IFERROR(F5/C5,0)</f>
        <v/>
      </c>
      <c r="H5" s="17">
        <f>Supuestos!$B$6</f>
        <v/>
      </c>
      <c r="I5" s="17">
        <f>Supuestos!$B$7+Supuestos!$B$8</f>
        <v/>
      </c>
      <c r="J5" s="17">
        <f>C5*Supuestos!$B$16</f>
        <v/>
      </c>
      <c r="K5" s="17">
        <f>C5*Supuestos!$B$11</f>
        <v/>
      </c>
      <c r="L5" s="17">
        <f>IF(D5="Sí",C5*Supuestos!$B$12,0)</f>
        <v/>
      </c>
      <c r="M5" s="18">
        <f>F5-SUM(H5:L5)</f>
        <v/>
      </c>
      <c r="N5" s="19">
        <f>IFERROR(M5/C5,0)</f>
        <v/>
      </c>
      <c r="O5" s="17">
        <f>Supuestos!$B$17</f>
        <v/>
      </c>
      <c r="P5" s="20">
        <f>M5-O5</f>
        <v/>
      </c>
      <c r="Q5" s="21">
        <f>IFERROR(C5/P5,0)</f>
        <v/>
      </c>
      <c r="R5" s="17">
        <f>IFERROR(C5/Supuestos!$B$15,0)</f>
        <v/>
      </c>
      <c r="S5" s="18">
        <f>M5-R5</f>
        <v/>
      </c>
      <c r="T5" s="19">
        <f>IFERROR(S5/C5,0)</f>
        <v/>
      </c>
      <c r="U5" s="20">
        <f>S5-O5</f>
        <v/>
      </c>
      <c r="V5" s="17">
        <f>IFERROR(C5/B5,0)</f>
        <v/>
      </c>
    </row>
    <row r="6">
      <c r="A6" s="15" t="inlineStr">
        <is>
          <t>Llevá 3, pagá 2</t>
        </is>
      </c>
      <c r="B6" s="9" t="n">
        <v>3</v>
      </c>
      <c r="C6" s="6" t="n">
        <v>46900</v>
      </c>
      <c r="D6" s="16" t="inlineStr">
        <is>
          <t>No</t>
        </is>
      </c>
      <c r="E6" s="17">
        <f>B6*Supuestos!$B$5</f>
        <v/>
      </c>
      <c r="F6" s="18">
        <f>C6-E6</f>
        <v/>
      </c>
      <c r="G6" s="19">
        <f>IFERROR(F6/C6,0)</f>
        <v/>
      </c>
      <c r="H6" s="17">
        <f>Supuestos!$B$6</f>
        <v/>
      </c>
      <c r="I6" s="17">
        <f>Supuestos!$B$7+Supuestos!$B$8</f>
        <v/>
      </c>
      <c r="J6" s="17">
        <f>C6*Supuestos!$B$16</f>
        <v/>
      </c>
      <c r="K6" s="17">
        <f>C6*Supuestos!$B$11</f>
        <v/>
      </c>
      <c r="L6" s="17">
        <f>IF(D6="Sí",C6*Supuestos!$B$12,0)</f>
        <v/>
      </c>
      <c r="M6" s="18">
        <f>F6-SUM(H6:L6)</f>
        <v/>
      </c>
      <c r="N6" s="19">
        <f>IFERROR(M6/C6,0)</f>
        <v/>
      </c>
      <c r="O6" s="17">
        <f>Supuestos!$B$17</f>
        <v/>
      </c>
      <c r="P6" s="20">
        <f>M6-O6</f>
        <v/>
      </c>
      <c r="Q6" s="21">
        <f>IFERROR(C6/P6,0)</f>
        <v/>
      </c>
      <c r="R6" s="17">
        <f>IFERROR(C6/Supuestos!$B$15,0)</f>
        <v/>
      </c>
      <c r="S6" s="18">
        <f>M6-R6</f>
        <v/>
      </c>
      <c r="T6" s="19">
        <f>IFERROR(S6/C6,0)</f>
        <v/>
      </c>
      <c r="U6" s="20">
        <f>S6-O6</f>
        <v/>
      </c>
      <c r="V6" s="17">
        <f>IFERROR(C6/B6,0)</f>
        <v/>
      </c>
    </row>
    <row r="7">
      <c r="A7" s="15" t="inlineStr">
        <is>
          <t>Llevá 6, pagá 3</t>
        </is>
      </c>
      <c r="B7" s="9" t="n">
        <v>6</v>
      </c>
      <c r="C7" s="6" t="n">
        <v>69900</v>
      </c>
      <c r="D7" s="16" t="inlineStr">
        <is>
          <t>No</t>
        </is>
      </c>
      <c r="E7" s="17">
        <f>B7*Supuestos!$B$5</f>
        <v/>
      </c>
      <c r="F7" s="18">
        <f>C7-E7</f>
        <v/>
      </c>
      <c r="G7" s="19">
        <f>IFERROR(F7/C7,0)</f>
        <v/>
      </c>
      <c r="H7" s="17">
        <f>Supuestos!$B$6</f>
        <v/>
      </c>
      <c r="I7" s="17">
        <f>Supuestos!$B$7+Supuestos!$B$8</f>
        <v/>
      </c>
      <c r="J7" s="17">
        <f>C7*Supuestos!$B$16</f>
        <v/>
      </c>
      <c r="K7" s="17">
        <f>C7*Supuestos!$B$11</f>
        <v/>
      </c>
      <c r="L7" s="17">
        <f>IF(D7="Sí",C7*Supuestos!$B$12,0)</f>
        <v/>
      </c>
      <c r="M7" s="18">
        <f>F7-SUM(H7:L7)</f>
        <v/>
      </c>
      <c r="N7" s="19">
        <f>IFERROR(M7/C7,0)</f>
        <v/>
      </c>
      <c r="O7" s="17">
        <f>Supuestos!$B$17</f>
        <v/>
      </c>
      <c r="P7" s="20">
        <f>M7-O7</f>
        <v/>
      </c>
      <c r="Q7" s="21">
        <f>IFERROR(C7/P7,0)</f>
        <v/>
      </c>
      <c r="R7" s="17">
        <f>IFERROR(C7/Supuestos!$B$15,0)</f>
        <v/>
      </c>
      <c r="S7" s="18">
        <f>M7-R7</f>
        <v/>
      </c>
      <c r="T7" s="19">
        <f>IFERROR(S7/C7,0)</f>
        <v/>
      </c>
      <c r="U7" s="20">
        <f>S7-O7</f>
        <v/>
      </c>
      <c r="V7" s="17">
        <f>IFERROR(C7/B7,0)</f>
        <v/>
      </c>
    </row>
    <row r="8">
      <c r="A8" s="15" t="inlineStr">
        <is>
          <t>Llevá 12, pagá 6</t>
        </is>
      </c>
      <c r="B8" s="9" t="n">
        <v>12</v>
      </c>
      <c r="C8" s="6" t="n">
        <v>139800</v>
      </c>
      <c r="D8" s="16" t="inlineStr">
        <is>
          <t>No</t>
        </is>
      </c>
      <c r="E8" s="17">
        <f>B8*Supuestos!$B$5</f>
        <v/>
      </c>
      <c r="F8" s="18">
        <f>C8-E8</f>
        <v/>
      </c>
      <c r="G8" s="19">
        <f>IFERROR(F8/C8,0)</f>
        <v/>
      </c>
      <c r="H8" s="17">
        <f>Supuestos!$B$6</f>
        <v/>
      </c>
      <c r="I8" s="17">
        <f>Supuestos!$B$7+Supuestos!$B$8</f>
        <v/>
      </c>
      <c r="J8" s="17">
        <f>C8*Supuestos!$B$16</f>
        <v/>
      </c>
      <c r="K8" s="17">
        <f>C8*Supuestos!$B$11</f>
        <v/>
      </c>
      <c r="L8" s="17">
        <f>IF(D8="Sí",C8*Supuestos!$B$12,0)</f>
        <v/>
      </c>
      <c r="M8" s="18">
        <f>F8-SUM(H8:L8)</f>
        <v/>
      </c>
      <c r="N8" s="19">
        <f>IFERROR(M8/C8,0)</f>
        <v/>
      </c>
      <c r="O8" s="17">
        <f>Supuestos!$B$17</f>
        <v/>
      </c>
      <c r="P8" s="20">
        <f>M8-O8</f>
        <v/>
      </c>
      <c r="Q8" s="21">
        <f>IFERROR(C8/P8,0)</f>
        <v/>
      </c>
      <c r="R8" s="17">
        <f>IFERROR(C8/Supuestos!$B$15,0)</f>
        <v/>
      </c>
      <c r="S8" s="18">
        <f>M8-R8</f>
        <v/>
      </c>
      <c r="T8" s="19">
        <f>IFERROR(S8/C8,0)</f>
        <v/>
      </c>
      <c r="U8" s="20">
        <f>S8-O8</f>
        <v/>
      </c>
      <c r="V8" s="17">
        <f>IFERROR(C8/B8,0)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2" t="inlineStr">
        <is>
          <t>No incluye retenciones de Ingresos Brutos ni IVA/Ganancias si pasás a Responsable Inscripto.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dataValidations count="1">
    <dataValidation sqref="D5 D6 D7 D8" showDropDown="0" showInputMessage="0" showErrorMessage="0" allowBlank="0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Cloud Socks · CM1, CM2, CM3, CPA y ROAS según el mix de ventas</t>
        </is>
      </c>
      <c r="B1" s="2" t="n"/>
      <c r="C1" s="2" t="n"/>
      <c r="D1" s="2" t="n"/>
      <c r="E1" s="2" t="n"/>
      <c r="F1" s="2" t="n"/>
    </row>
    <row r="2">
      <c r="A2" s="3" t="inlineStr">
        <is>
          <t>Poné en amarillo qué % de los pedidos es cada pack (tiene que sumar 100%). Ejemplo: 15/25/50/10.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Pack</t>
        </is>
      </c>
      <c r="B4" s="4" t="inlineStr">
        <is>
          <t>% de pedidos</t>
        </is>
      </c>
      <c r="C4" s="4" t="inlineStr">
        <is>
          <t>Precio</t>
        </is>
      </c>
      <c r="D4" s="4" t="inlineStr">
        <is>
          <t>CM1</t>
        </is>
      </c>
      <c r="E4" s="4" t="inlineStr">
        <is>
          <t>CM2</t>
        </is>
      </c>
      <c r="F4" s="4" t="inlineStr">
        <is>
          <t>CM3</t>
        </is>
      </c>
    </row>
    <row r="5">
      <c r="A5" s="23">
        <f>'Costeo por pack'!A5</f>
        <v/>
      </c>
      <c r="B5" s="24" t="n">
        <v>0.15</v>
      </c>
      <c r="C5" s="25">
        <f>'Costeo por pack'!C5</f>
        <v/>
      </c>
      <c r="D5" s="25">
        <f>'Costeo por pack'!F5</f>
        <v/>
      </c>
      <c r="E5" s="25">
        <f>'Costeo por pack'!M5</f>
        <v/>
      </c>
      <c r="F5" s="25">
        <f>'Costeo por pack'!S5</f>
        <v/>
      </c>
    </row>
    <row r="6">
      <c r="A6" s="23">
        <f>'Costeo por pack'!A6</f>
        <v/>
      </c>
      <c r="B6" s="24" t="n">
        <v>0.25</v>
      </c>
      <c r="C6" s="25">
        <f>'Costeo por pack'!C6</f>
        <v/>
      </c>
      <c r="D6" s="25">
        <f>'Costeo por pack'!F6</f>
        <v/>
      </c>
      <c r="E6" s="25">
        <f>'Costeo por pack'!M6</f>
        <v/>
      </c>
      <c r="F6" s="25">
        <f>'Costeo por pack'!S6</f>
        <v/>
      </c>
    </row>
    <row r="7">
      <c r="A7" s="23">
        <f>'Costeo por pack'!A7</f>
        <v/>
      </c>
      <c r="B7" s="24" t="n">
        <v>0.5</v>
      </c>
      <c r="C7" s="25">
        <f>'Costeo por pack'!C7</f>
        <v/>
      </c>
      <c r="D7" s="25">
        <f>'Costeo por pack'!F7</f>
        <v/>
      </c>
      <c r="E7" s="25">
        <f>'Costeo por pack'!M7</f>
        <v/>
      </c>
      <c r="F7" s="25">
        <f>'Costeo por pack'!S7</f>
        <v/>
      </c>
    </row>
    <row r="8">
      <c r="A8" s="23">
        <f>'Costeo por pack'!A8</f>
        <v/>
      </c>
      <c r="B8" s="24" t="n">
        <v>0.1</v>
      </c>
      <c r="C8" s="25">
        <f>'Costeo por pack'!C8</f>
        <v/>
      </c>
      <c r="D8" s="25">
        <f>'Costeo por pack'!F8</f>
        <v/>
      </c>
      <c r="E8" s="25">
        <f>'Costeo por pack'!M8</f>
        <v/>
      </c>
      <c r="F8" s="25">
        <f>'Costeo por pack'!S8</f>
        <v/>
      </c>
    </row>
    <row r="9">
      <c r="A9" s="11" t="inlineStr">
        <is>
          <t>Total %</t>
        </is>
      </c>
      <c r="B9" s="12">
        <f>SUM(B5:B8)</f>
        <v/>
      </c>
      <c r="C9" s="2">
        <f>IF(ROUND(B9,4)=1,"OK","Revisá: no suma 100%")</f>
        <v/>
      </c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6" t="inlineStr">
        <is>
          <t>Resultados del mix</t>
        </is>
      </c>
      <c r="B11" s="2" t="n"/>
      <c r="C11" s="2" t="n"/>
      <c r="D11" s="2" t="n"/>
      <c r="E11" s="2" t="n"/>
      <c r="F11" s="2" t="n"/>
    </row>
    <row r="12">
      <c r="A12" s="15" t="inlineStr">
        <is>
          <t>Ticket promedio (AOV)</t>
        </is>
      </c>
      <c r="B12" s="20">
        <f>SUMPRODUCT(B5:B8,C5:C8)</f>
        <v/>
      </c>
      <c r="C12" s="2" t="n"/>
      <c r="D12" s="2" t="n"/>
      <c r="E12" s="2" t="n"/>
      <c r="F12" s="2" t="n"/>
    </row>
    <row r="13">
      <c r="A13" s="15" t="inlineStr">
        <is>
          <t>CM1 promedio</t>
        </is>
      </c>
      <c r="B13" s="20">
        <f>SUMPRODUCT(B5:B8,D5:D8)</f>
        <v/>
      </c>
      <c r="C13" s="2" t="n"/>
      <c r="D13" s="2" t="n"/>
      <c r="E13" s="2" t="n"/>
      <c r="F13" s="2" t="n"/>
    </row>
    <row r="14">
      <c r="A14" s="15" t="inlineStr">
        <is>
          <t>CM1 %</t>
        </is>
      </c>
      <c r="B14" s="27">
        <f>IFERROR(B13/B12,0)</f>
        <v/>
      </c>
      <c r="C14" s="2" t="n"/>
      <c r="D14" s="2" t="n"/>
      <c r="E14" s="2" t="n"/>
      <c r="F14" s="2" t="n"/>
    </row>
    <row r="15">
      <c r="A15" s="15" t="inlineStr">
        <is>
          <t>CM2 promedio</t>
        </is>
      </c>
      <c r="B15" s="20">
        <f>SUMPRODUCT(B5:B8,E5:E8)</f>
        <v/>
      </c>
      <c r="C15" s="2" t="n"/>
      <c r="D15" s="2" t="n"/>
      <c r="E15" s="2" t="n"/>
      <c r="F15" s="2" t="n"/>
    </row>
    <row r="16">
      <c r="A16" s="15" t="inlineStr">
        <is>
          <t>CM2 %</t>
        </is>
      </c>
      <c r="B16" s="27">
        <f>IFERROR(B15/B12,0)</f>
        <v/>
      </c>
      <c r="C16" s="2" t="n"/>
      <c r="D16" s="2" t="n"/>
      <c r="E16" s="2" t="n"/>
      <c r="F16" s="2" t="n"/>
    </row>
    <row r="17">
      <c r="A17" s="15" t="inlineStr">
        <is>
          <t>CPA break-even (mix)</t>
        </is>
      </c>
      <c r="B17" s="20">
        <f>B15-Supuestos!$B$17</f>
        <v/>
      </c>
      <c r="C17" s="2" t="n"/>
      <c r="D17" s="2" t="n"/>
      <c r="E17" s="2" t="n"/>
      <c r="F17" s="2" t="n"/>
    </row>
    <row r="18">
      <c r="A18" s="15" t="inlineStr">
        <is>
          <t>ROAS break-even (mix)</t>
        </is>
      </c>
      <c r="B18" s="21">
        <f>IFERROR(B12/B17,0)</f>
        <v/>
      </c>
      <c r="C18" s="2" t="n"/>
      <c r="D18" s="2" t="n"/>
      <c r="E18" s="2" t="n"/>
      <c r="F18" s="2" t="n"/>
    </row>
    <row r="19">
      <c r="A19" s="15" t="inlineStr">
        <is>
          <t>CPA a ROAS objetivo</t>
        </is>
      </c>
      <c r="B19" s="20">
        <f>IFERROR(B12/Supuestos!$B$15,0)</f>
        <v/>
      </c>
      <c r="C19" s="2" t="n"/>
      <c r="D19" s="2" t="n"/>
      <c r="E19" s="2" t="n"/>
      <c r="F19" s="2" t="n"/>
    </row>
    <row r="20">
      <c r="A20" s="15" t="inlineStr">
        <is>
          <t>CM3 promedio (a ROAS objetivo)</t>
        </is>
      </c>
      <c r="B20" s="20">
        <f>SUMPRODUCT(B5:B8,F5:F8)</f>
        <v/>
      </c>
      <c r="C20" s="2" t="n"/>
      <c r="D20" s="2" t="n"/>
      <c r="E20" s="2" t="n"/>
      <c r="F20" s="2" t="n"/>
    </row>
    <row r="21">
      <c r="A21" s="15" t="inlineStr">
        <is>
          <t>CM3 %</t>
        </is>
      </c>
      <c r="B21" s="27">
        <f>IFERROR(B20/B12,0)</f>
        <v/>
      </c>
      <c r="C21" s="2" t="n"/>
      <c r="D21" s="2" t="n"/>
      <c r="E21" s="2" t="n"/>
      <c r="F21" s="2" t="n"/>
    </row>
    <row r="22">
      <c r="A22" s="15" t="inlineStr">
        <is>
          <t>Resultado neto por pedido</t>
        </is>
      </c>
      <c r="B22" s="20">
        <f>B20-Supuestos!$B$17</f>
        <v/>
      </c>
      <c r="C22" s="2" t="n"/>
      <c r="D22" s="2" t="n"/>
      <c r="E22" s="2" t="n"/>
      <c r="F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2026-10-05T02:46:54Z</dcterms:created>
  <dcterms:modified xsi:type="dcterms:W3CDTF">2026-10-05T02:46:54Z</dcterms:modified>
</cp:coreProperties>
</file>